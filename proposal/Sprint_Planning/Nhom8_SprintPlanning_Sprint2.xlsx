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Sprint Backlog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<sst xmlns="http://schemas.openxmlformats.org/spreadsheetml/2006/main" count="105" uniqueCount="87">
  <si>
    <t xml:space="preserve">Hệ thống quản lý hoạt động và tính điểm rèn luyện - Sprint 2</t>
  </si>
  <si>
    <t xml:space="preserve">Mục</t>
  </si>
  <si>
    <t xml:space="preserve">Nội dung</t>
  </si>
  <si>
    <t xml:space="preserve">Sprint Goal</t>
  </si>
  <si>
    <t xml:space="preserve">Chuẩn hóa RESTful API dùng chung cho Web/Mobile (API v1, ProblemDetails, migration, integration test), hỗ trợ hoạt động nhiều buổi/cơ sở và đối tượng tham gia, hoàn thiện vòng đời đăng ký bằng hủy đăng ký và tách quyền tài khoản HSSV/SystemAdmin.</t>
  </si>
  <si>
    <t xml:space="preserve">Start Date (kế hoạch)</t>
  </si>
  <si>
    <t xml:space="preserve">End Date (kế hoạch)</t>
  </si>
  <si>
    <t xml:space="preserve">Act Start Date</t>
  </si>
  <si>
    <t xml:space="preserve">Act End Date</t>
  </si>
  <si>
    <t xml:space="preserve">Tổng Story Points</t>
  </si>
  <si>
    <t xml:space="preserve">Phú</t>
  </si>
  <si>
    <t xml:space="preserve">Kiệt</t>
  </si>
  <si>
    <t xml:space="preserve">Act Points</t>
  </si>
  <si>
    <t xml:space="preserve">Rủi ro chính</t>
  </si>
  <si>
    <t xml:space="preserve">Thay đổi schema và phân quyền ảnh hưởng toàn hệ thống; migration phải chạy được trên database Sprint 1; khóa tài khoản/đổi quyền phải có hiệu lực ngay với token đã phát.</t>
  </si>
  <si>
    <t xml:space="preserve">Biện pháp</t>
  </si>
  <si>
    <t xml:space="preserve">Phú chốt migration, contract lỗi và eligibility trước khi chia branch; mỗi story một branch/PR; migration US-25 đặt mặc định IsActive = true và kiểm tra trên DB mới lẫn DB nâng cấp; integration test cho phân quyền và đồng thời.</t>
  </si>
  <si>
    <t xml:space="preserve">Nguyên tắc phân công</t>
  </si>
  <si>
    <t xml:space="preserve">Phú làm nền US-28, US-27 và review/merge toàn bộ; Kiệt triển khai US-05, US-25 trong contract đã chốt tại Huong_Dan_Kiet/Sprint 2.</t>
  </si>
  <si>
    <t xml:space="preserve">Sprint Planning Update — Thay đổi</t>
  </si>
  <si>
    <t xml:space="preserve">Kế hoạch ban đầu 05/10–18/10 dựa trên backlog mở rộng cũ (refresh token, khóa tài khoản, trạng thái đăng ký, nền tảng Web). Sau khi chốt Product Backlog 30 story, Sprint 2 được rebaseline 21/10–01/11 gồm US-05, US-25, US-27, US-28 (20 điểm); hoàn thành sớm ngày 27/10.</t>
  </si>
  <si>
    <t xml:space="preserve">Sprint Planning Update — Lý do</t>
  </si>
  <si>
    <t xml:space="preserve">Sprint 1 kết thúc thực tế 07/10 và demo tiến độ 1 ngày 08/10; cần dựng migration và contract nền trước khi chia branch để tránh rework; nền tảng Web chuyển về US-29 ở Sprint 6 theo backlog chính thức.</t>
  </si>
  <si>
    <t xml:space="preserve">Thứ tự thực hiện</t>
  </si>
  <si>
    <t xml:space="preserve">Owner</t>
  </si>
  <si>
    <t xml:space="preserve">Điều kiện bắt đầu</t>
  </si>
  <si>
    <t xml:space="preserve">Kết quả</t>
  </si>
  <si>
    <t xml:space="preserve">Trạng thái</t>
  </si>
  <si>
    <t xml:space="preserve">Chốt API contract, schema và migration (US-28)</t>
  </si>
  <si>
    <t xml:space="preserve">Sprint Planning hoàn tất</t>
  </si>
  <si>
    <t xml:space="preserve">Contract v1, migration, test foundation</t>
  </si>
  <si>
    <t xml:space="preserve">Done</t>
  </si>
  <si>
    <t xml:space="preserve">Triển khai US-27 và US-05 theo branch nhỏ</t>
  </si>
  <si>
    <t xml:space="preserve">Phú/Kiệt</t>
  </si>
  <si>
    <t xml:space="preserve">Contract đã chốt</t>
  </si>
  <si>
    <t xml:space="preserve">codex/sprint2-phu, feature/kiet-s2-us05-cancel-registration</t>
  </si>
  <si>
    <t xml:space="preserve">Triển khai US-25 theo contract HUONG_DAN_AI_SPRINT2_US25</t>
  </si>
  <si>
    <t xml:space="preserve">Kiệt (Phú hỗ trợ)</t>
  </si>
  <si>
    <t xml:space="preserve">US-05 đã merge</t>
  </si>
  <si>
    <t xml:space="preserve">feature/kiet-s2-us25-account-role</t>
  </si>
  <si>
    <t xml:space="preserve">Integration, cập nhật DB và regression test</t>
  </si>
  <si>
    <t xml:space="preserve">PR story đã sẵn sàng</t>
  </si>
  <si>
    <t xml:space="preserve">main build sạch, toàn bộ integration test xanh</t>
  </si>
  <si>
    <t xml:space="preserve">Sprint Review, cập nhật backlog và Retrospective</t>
  </si>
  <si>
    <t xml:space="preserve">Cả nhóm</t>
  </si>
  <si>
    <t xml:space="preserve">Đạt Definition of Done</t>
  </si>
  <si>
    <t xml:space="preserve">20/20 điểm; action item cho Sprint 3</t>
  </si>
  <si>
    <t xml:space="preserve">Hệ thống quản lý hoạt động và tính điểm rèn luyện - Sprint 2 Backlog</t>
  </si>
  <si>
    <t xml:space="preserve">Story ID</t>
  </si>
  <si>
    <t xml:space="preserve">Story Name</t>
  </si>
  <si>
    <t xml:space="preserve">Points</t>
  </si>
  <si>
    <t xml:space="preserve">Name Of Dev</t>
  </si>
  <si>
    <t xml:space="preserve">Start Date</t>
  </si>
  <si>
    <t xml:space="preserve">End Date</t>
  </si>
  <si>
    <t xml:space="preserve">Status</t>
  </si>
  <si>
    <t xml:space="preserve">Dependencies</t>
  </si>
  <si>
    <t xml:space="preserve">Acceptance Criteria</t>
  </si>
  <si>
    <t xml:space="preserve">Technical Tasks</t>
  </si>
  <si>
    <t xml:space="preserve">Deliverable</t>
  </si>
  <si>
    <t xml:space="preserve">Notes</t>
  </si>
  <si>
    <t xml:space="preserve">Tổng Sprint Points</t>
  </si>
  <si>
    <t xml:space="preserve">Sprint 2</t>
  </si>
  <si>
    <t xml:space="preserve">Cung cấp RESTful API dùng chung cho Web/Mobile với DTO, phân quyền, lỗi và OpenAPI nhất quán</t>
  </si>
  <si>
    <t xml:space="preserve">1</t>
  </si>
  <si>
    <t xml:space="preserve">Route /api/v1; lỗi trả application/problem+json có errorCode và traceId; OpenAPI chỉ gắn Bearer và 401/403 cho endpoint cần xác thực; EF Core migration thay EnsureCreated; integration test bằng WebApplicationFactory.</t>
  </si>
  <si>
    <t xml:space="preserve">Migration InitialCreate; ApiControllerBase + ProblemDetails; AuthorizeOperationFilter; project test</t>
  </si>
  <si>
    <t xml:space="preserve">Contract API v1 và nền tảng kiểm thử</t>
  </si>
  <si>
    <t xml:space="preserve">Commit 3613954, 22d05e6, efd70f2.</t>
  </si>
  <si>
    <t xml:space="preserve">Quản lý nhiều buổi/cơ sở/địa điểm, đơn vị tổ chức và đối tượng tham gia của hoạt động</t>
  </si>
  <si>
    <t xml:space="preserve">17, 18, 19</t>
  </si>
  <si>
    <t xml:space="preserve">Một hoạt động có nhiều buổi (cơ sở, địa điểm, thời gian); có đơn vị tổ chức; quy tắc đối tượng theo cơ sở/khóa/lớp với Required/Recommended/Optional; danh sách, chi tiết và đăng ký dùng chung một bộ kiểm tra eligibility.</t>
  </si>
  <si>
    <t xml:space="preserve">ActivitySession, ActivityAudienceRule, OrganizerName; migration AddActivityStructure; ActivityEligibilityService; test</t>
  </si>
  <si>
    <t xml:space="preserve">Hoạt động nhiều buổi và eligibility engine</t>
  </si>
  <si>
    <t xml:space="preserve">Commit b730550, 0f20114.</t>
  </si>
  <si>
    <t xml:space="preserve">Hủy đăng ký trước khi đóng đăng ký</t>
  </si>
  <si>
    <t xml:space="preserve">4</t>
  </si>
  <si>
    <t xml:space="preserve">Chỉ hủy đăng ký của chính mình; Registered → Cancelled, không xóa bản ghi; chỉ trước RegistrationCloseTime; lặp lại trả 200 và không giảm chỗ lần hai; giảm chỗ đúng một lần trong cùng transaction kể cả khi gửi đồng thời.</t>
  </si>
  <si>
    <t xml:space="preserve">DELETE /student-activities/{id}/registration; conditional update; rollback; integration test</t>
  </si>
  <si>
    <t xml:space="preserve">API hủy đăng ký idempotent</t>
  </si>
  <si>
    <t xml:space="preserve">Commit 241c31e, 43f147c, ad08804; Phú review/fix 2e5a9fa.</t>
  </si>
  <si>
    <t xml:space="preserve">Quản lý tài khoản và phân quyền người dùng</t>
  </si>
  <si>
    <t xml:space="preserve">1, 17, 18, 28</t>
  </si>
  <si>
    <t xml:space="preserve">Tách role HSSV và SystemAdmin (Admin cũ → SystemAdmin); chỉ SystemAdmin dùng /admin/accounts; list/lọc/tạo tài khoản cán bộ, đổi role HSSV↔SystemAdmin, khóa/mở khóa; không trả PasswordHash; tài khoản khóa không đăng nhập được và token đã phát bị từ chối ngay; không tự hạ quyền/tự khóa hoặc làm mất SystemAdmin cuối cùng; gỡ /auth/register công khai.</t>
  </si>
  <si>
    <t xml:space="preserve">Role + policy; migration Kiet_Us25_AccountStatusAndRoles; AccountService/Controller; JwtBearer OnTokenValidated; integration test</t>
  </si>
  <si>
    <t xml:space="preserve">API quản lý tài khoản và phân quyền</t>
  </si>
  <si>
    <t xml:space="preserve">Phú hỗ trợ triển khai theo contract ngày 27/10. Commit b64bf1a, d1103db, ef04688, df9e489, 350e5da, d33a265, fb66700.</t>
  </si>
  <si>
    <t xml:space="preserve">Definition of Done: đạt Acceptance Criteria, build/test sạch, Swagger/API contract cập nhật, migration và hướng dẫn pull/update DB đầy đủ khi có thay đổi.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</si>
</sst>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9D9D9"/>
        <bgColor rgb="FFD9E2F3"/>
      </patternFill>
    </fill>
    <fill>
      <patternFill patternType="solid">
        <fgColor rgb="FFCCFFFF"/>
        <bgColor rgb="FFCCFFCC"/>
      </patternFill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9DB"/>
      </left>
      <right style="thin">
        <color rgb="FFB7C9DB"/>
      </right>
      <top style="thin">
        <color rgb="FFB7C9DB"/>
      </top>
      <bottom style="thin">
        <color rgb="FFB7C9DB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8"/>
    <col collapsed="false" customWidth="true" hidden="false" outlineLevel="0" max="3" min="3" style="0" width="18"/>
    <col collapsed="false" customWidth="true" hidden="false" outlineLevel="0" max="5" min="4" style="0" width="42"/>
    <col collapsed="false" customWidth="true" hidden="false" outlineLevel="0" max="6" min="6" style="0" width="16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3" t="s">
        <v>1</v>
      </c>
      <c r="B4" s="3" t="s">
        <v>2</v>
      </c>
      <c r="C4" s="4"/>
      <c r="D4" s="4"/>
      <c r="E4" s="4"/>
      <c r="F4" s="4"/>
    </row>
    <row r="5" customFormat="false" ht="35.05" hidden="false" customHeight="false" outlineLevel="0" collapsed="false">
      <c r="A5" s="5" t="s">
        <v>3</v>
      </c>
      <c r="B5" s="5" t="s">
        <v>4</v>
      </c>
      <c r="C5" s="4"/>
      <c r="D5" s="4"/>
      <c r="E5" s="4"/>
      <c r="F5" s="4"/>
    </row>
    <row r="6" customFormat="false" ht="15" hidden="false" customHeight="false" outlineLevel="0" collapsed="false">
      <c r="A6" s="5" t="s">
        <v>5</v>
      </c>
      <c r="B6" s="6" t="n">
        <v>46316</v>
      </c>
      <c r="C6" s="4"/>
      <c r="D6" s="4"/>
      <c r="E6" s="4"/>
      <c r="F6" s="4"/>
    </row>
    <row r="7" customFormat="false" ht="15" hidden="false" customHeight="false" outlineLevel="0" collapsed="false">
      <c r="A7" s="5" t="s">
        <v>6</v>
      </c>
      <c r="B7" s="6" t="n">
        <v>46327</v>
      </c>
      <c r="C7" s="4"/>
      <c r="D7" s="4"/>
      <c r="E7" s="4"/>
      <c r="F7" s="4"/>
    </row>
    <row r="8" customFormat="false" ht="15" hidden="false" customHeight="false" outlineLevel="0" collapsed="false">
      <c r="A8" s="5" t="s">
        <v>7</v>
      </c>
      <c r="B8" s="6" t="n">
        <v>46316</v>
      </c>
      <c r="C8" s="4"/>
      <c r="D8" s="4"/>
      <c r="E8" s="4"/>
      <c r="F8" s="4"/>
    </row>
    <row r="9" customFormat="false" ht="15" hidden="false" customHeight="false" outlineLevel="0" collapsed="false">
      <c r="A9" s="5" t="s">
        <v>8</v>
      </c>
      <c r="B9" s="6" t="n">
        <v>46322</v>
      </c>
      <c r="C9" s="4"/>
      <c r="D9" s="4"/>
      <c r="E9" s="4"/>
      <c r="F9" s="4"/>
    </row>
    <row r="10" customFormat="false" ht="15" hidden="false" customHeight="false" outlineLevel="0" collapsed="false">
      <c r="A10" s="5" t="s">
        <v>9</v>
      </c>
      <c r="B10" s="5" t="n">
        <f aca="false">SUM('Sprint Backlog'!C7:C10)</f>
        <v>20</v>
      </c>
      <c r="C10" s="4"/>
      <c r="D10" s="4"/>
      <c r="E10" s="4"/>
      <c r="F10" s="4"/>
    </row>
    <row r="11" customFormat="false" ht="15" hidden="false" customHeight="false" outlineLevel="0" collapsed="false">
      <c r="A11" s="5" t="s">
        <v>10</v>
      </c>
      <c r="B11" s="5" t="n">
        <f aca="false">SUMIFS('Sprint Backlog'!C7:C10,'Sprint Backlog'!D7:D10,"Phú")</f>
        <v>13</v>
      </c>
      <c r="C11" s="4"/>
      <c r="D11" s="4"/>
      <c r="E11" s="4"/>
      <c r="F11" s="4"/>
    </row>
    <row r="12" customFormat="false" ht="15" hidden="false" customHeight="false" outlineLevel="0" collapsed="false">
      <c r="A12" s="5" t="s">
        <v>11</v>
      </c>
      <c r="B12" s="5" t="n">
        <f aca="false">SUMIFS('Sprint Backlog'!C7:C10,'Sprint Backlog'!D7:D10,"Kiệt")</f>
        <v>7</v>
      </c>
      <c r="C12" s="4"/>
      <c r="D12" s="4"/>
      <c r="E12" s="4"/>
      <c r="F12" s="4"/>
    </row>
    <row r="13" customFormat="false" ht="15" hidden="false" customHeight="false" outlineLevel="0" collapsed="false">
      <c r="A13" s="5" t="s">
        <v>12</v>
      </c>
      <c r="B13" s="5" t="n">
        <f aca="false">SUM('Sprint Backlog'!I7:I10)</f>
        <v>20</v>
      </c>
      <c r="C13" s="4"/>
      <c r="D13" s="4"/>
      <c r="E13" s="4"/>
      <c r="F13" s="4"/>
    </row>
    <row r="14" customFormat="false" ht="23.85" hidden="false" customHeight="false" outlineLevel="0" collapsed="false">
      <c r="A14" s="5" t="s">
        <v>13</v>
      </c>
      <c r="B14" s="5" t="s">
        <v>14</v>
      </c>
      <c r="C14" s="7"/>
      <c r="D14" s="7"/>
      <c r="E14" s="7"/>
      <c r="F14" s="7"/>
    </row>
    <row r="15" customFormat="false" ht="35.05" hidden="false" customHeight="false" outlineLevel="0" collapsed="false">
      <c r="A15" s="5" t="s">
        <v>15</v>
      </c>
      <c r="B15" s="5" t="s">
        <v>16</v>
      </c>
      <c r="C15" s="8"/>
      <c r="D15" s="8"/>
      <c r="E15" s="8"/>
      <c r="F15" s="8"/>
    </row>
    <row r="16" customFormat="false" ht="23.85" hidden="false" customHeight="false" outlineLevel="0" collapsed="false">
      <c r="A16" s="5" t="s">
        <v>17</v>
      </c>
      <c r="B16" s="5" t="s">
        <v>18</v>
      </c>
      <c r="C16" s="8"/>
      <c r="D16" s="8"/>
      <c r="E16" s="8"/>
      <c r="F16" s="8"/>
    </row>
    <row r="17" customFormat="false" ht="35.05" hidden="false" customHeight="false" outlineLevel="0" collapsed="false">
      <c r="A17" s="5" t="s">
        <v>19</v>
      </c>
      <c r="B17" s="5" t="s">
        <v>20</v>
      </c>
      <c r="C17" s="8"/>
      <c r="D17" s="8"/>
      <c r="E17" s="8"/>
      <c r="F17" s="8"/>
    </row>
    <row r="18" customFormat="false" ht="23.85" hidden="false" customHeight="false" outlineLevel="0" collapsed="false">
      <c r="A18" s="5" t="s">
        <v>21</v>
      </c>
      <c r="B18" s="5" t="s">
        <v>22</v>
      </c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30" hidden="false" customHeight="true" outlineLevel="0" collapsed="false">
      <c r="A20" s="3" t="s">
        <v>23</v>
      </c>
      <c r="B20" s="3" t="s">
        <v>2</v>
      </c>
      <c r="C20" s="3" t="s">
        <v>24</v>
      </c>
      <c r="D20" s="3" t="s">
        <v>25</v>
      </c>
      <c r="E20" s="3" t="s">
        <v>26</v>
      </c>
      <c r="F20" s="3" t="s">
        <v>27</v>
      </c>
    </row>
    <row r="21" customFormat="false" ht="15" hidden="false" customHeight="false" outlineLevel="0" collapsed="false">
      <c r="A21" s="5" t="n">
        <v>1</v>
      </c>
      <c r="B21" s="5" t="s">
        <v>28</v>
      </c>
      <c r="C21" s="5" t="s">
        <v>10</v>
      </c>
      <c r="D21" s="5" t="s">
        <v>29</v>
      </c>
      <c r="E21" s="5" t="s">
        <v>30</v>
      </c>
      <c r="F21" s="5" t="s">
        <v>31</v>
      </c>
    </row>
    <row r="22" customFormat="false" ht="23.85" hidden="false" customHeight="false" outlineLevel="0" collapsed="false">
      <c r="A22" s="5" t="n">
        <v>2</v>
      </c>
      <c r="B22" s="5" t="s">
        <v>32</v>
      </c>
      <c r="C22" s="5" t="s">
        <v>33</v>
      </c>
      <c r="D22" s="5" t="s">
        <v>34</v>
      </c>
      <c r="E22" s="5" t="s">
        <v>35</v>
      </c>
      <c r="F22" s="5" t="s">
        <v>31</v>
      </c>
    </row>
    <row r="23" customFormat="false" ht="15" hidden="false" customHeight="false" outlineLevel="0" collapsed="false">
      <c r="A23" s="5" t="n">
        <v>3</v>
      </c>
      <c r="B23" s="5" t="s">
        <v>36</v>
      </c>
      <c r="C23" s="5" t="s">
        <v>37</v>
      </c>
      <c r="D23" s="5" t="s">
        <v>38</v>
      </c>
      <c r="E23" s="5" t="s">
        <v>39</v>
      </c>
      <c r="F23" s="5" t="s">
        <v>31</v>
      </c>
    </row>
    <row r="24" customFormat="false" ht="15" hidden="false" customHeight="false" outlineLevel="0" collapsed="false">
      <c r="A24" s="5" t="n">
        <v>4</v>
      </c>
      <c r="B24" s="5" t="s">
        <v>40</v>
      </c>
      <c r="C24" s="5" t="s">
        <v>10</v>
      </c>
      <c r="D24" s="5" t="s">
        <v>41</v>
      </c>
      <c r="E24" s="5" t="s">
        <v>42</v>
      </c>
      <c r="F24" s="5" t="s">
        <v>31</v>
      </c>
    </row>
    <row r="25" customFormat="false" ht="15" hidden="false" customHeight="false" outlineLevel="0" collapsed="false">
      <c r="A25" s="5" t="n">
        <v>5</v>
      </c>
      <c r="B25" s="5" t="s">
        <v>43</v>
      </c>
      <c r="C25" s="5" t="s">
        <v>44</v>
      </c>
      <c r="D25" s="5" t="s">
        <v>45</v>
      </c>
      <c r="E25" s="5" t="s">
        <v>46</v>
      </c>
      <c r="F25" s="5" t="s">
        <v>31</v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</sheetData>
  <mergeCells count="1"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3"/>
    <col collapsed="false" customWidth="true" hidden="false" outlineLevel="0" max="10" min="5" style="0" width="15"/>
    <col collapsed="false" customWidth="true" hidden="false" outlineLevel="0" max="11" min="11" style="0" width="20"/>
    <col collapsed="false" customWidth="true" hidden="false" outlineLevel="0" max="12" min="12" style="0" width="78"/>
    <col collapsed="false" customWidth="true" hidden="false" outlineLevel="0" max="13" min="13" style="0" width="72"/>
    <col collapsed="false" customWidth="true" hidden="false" outlineLevel="0" max="14" min="14" style="0" width="48"/>
    <col collapsed="false" customWidth="true" hidden="false" outlineLevel="0" max="15" min="15" style="0" width="55"/>
  </cols>
  <sheetData>
    <row r="1" customFormat="false" ht="30" hidden="false" customHeight="true" outlineLevel="0" collapsed="false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0" hidden="false" customHeight="true" outlineLevel="0" collapsed="false">
      <c r="A4" s="11" t="s">
        <v>48</v>
      </c>
      <c r="B4" s="11" t="s">
        <v>49</v>
      </c>
      <c r="C4" s="11" t="s">
        <v>50</v>
      </c>
      <c r="D4" s="11" t="s">
        <v>51</v>
      </c>
      <c r="E4" s="11" t="s">
        <v>52</v>
      </c>
      <c r="F4" s="11" t="s">
        <v>53</v>
      </c>
      <c r="G4" s="11" t="s">
        <v>7</v>
      </c>
      <c r="H4" s="11" t="s">
        <v>8</v>
      </c>
      <c r="I4" s="11" t="s">
        <v>12</v>
      </c>
      <c r="J4" s="11" t="s">
        <v>54</v>
      </c>
      <c r="K4" s="11" t="s">
        <v>55</v>
      </c>
      <c r="L4" s="11" t="s">
        <v>56</v>
      </c>
      <c r="M4" s="11" t="s">
        <v>57</v>
      </c>
      <c r="N4" s="11" t="s">
        <v>58</v>
      </c>
      <c r="O4" s="11" t="s">
        <v>59</v>
      </c>
    </row>
    <row r="5" customFormat="false" ht="15" hidden="false" customHeight="false" outlineLevel="0" collapsed="false">
      <c r="A5" s="12"/>
      <c r="B5" s="12" t="s">
        <v>60</v>
      </c>
      <c r="C5" s="12" t="n">
        <f aca="false">SUM(C7:C10)</f>
        <v>20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false" outlineLevel="0" collapsed="false">
      <c r="A6" s="13" t="s">
        <v>61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customFormat="false" ht="35.05" hidden="false" customHeight="false" outlineLevel="0" collapsed="false">
      <c r="A7" s="5" t="n">
        <v>28</v>
      </c>
      <c r="B7" s="5" t="s">
        <v>62</v>
      </c>
      <c r="C7" s="5" t="n">
        <v>5</v>
      </c>
      <c r="D7" s="5" t="s">
        <v>10</v>
      </c>
      <c r="E7" s="6" t="n">
        <v>46316</v>
      </c>
      <c r="F7" s="6" t="n">
        <v>46327</v>
      </c>
      <c r="G7" s="6" t="n">
        <v>46316</v>
      </c>
      <c r="H7" s="6" t="n">
        <v>46316</v>
      </c>
      <c r="I7" s="5" t="n">
        <v>5</v>
      </c>
      <c r="J7" s="5" t="s">
        <v>31</v>
      </c>
      <c r="K7" s="5" t="s">
        <v>63</v>
      </c>
      <c r="L7" s="5" t="s">
        <v>64</v>
      </c>
      <c r="M7" s="5" t="s">
        <v>65</v>
      </c>
      <c r="N7" s="5" t="s">
        <v>66</v>
      </c>
      <c r="O7" s="5" t="s">
        <v>67</v>
      </c>
    </row>
    <row r="8" customFormat="false" ht="35.05" hidden="false" customHeight="false" outlineLevel="0" collapsed="false">
      <c r="A8" s="5" t="n">
        <v>27</v>
      </c>
      <c r="B8" s="5" t="s">
        <v>68</v>
      </c>
      <c r="C8" s="5" t="n">
        <v>8</v>
      </c>
      <c r="D8" s="5" t="s">
        <v>10</v>
      </c>
      <c r="E8" s="6" t="n">
        <v>46316</v>
      </c>
      <c r="F8" s="6" t="n">
        <v>46327</v>
      </c>
      <c r="G8" s="6" t="n">
        <v>46316</v>
      </c>
      <c r="H8" s="6" t="n">
        <v>46316</v>
      </c>
      <c r="I8" s="5" t="n">
        <v>8</v>
      </c>
      <c r="J8" s="5" t="s">
        <v>31</v>
      </c>
      <c r="K8" s="5" t="s">
        <v>69</v>
      </c>
      <c r="L8" s="5" t="s">
        <v>70</v>
      </c>
      <c r="M8" s="5" t="s">
        <v>71</v>
      </c>
      <c r="N8" s="5" t="s">
        <v>72</v>
      </c>
      <c r="O8" s="5" t="s">
        <v>73</v>
      </c>
    </row>
    <row r="9" customFormat="false" ht="35.05" hidden="false" customHeight="false" outlineLevel="0" collapsed="false">
      <c r="A9" s="5" t="n">
        <v>5</v>
      </c>
      <c r="B9" s="5" t="s">
        <v>74</v>
      </c>
      <c r="C9" s="5" t="n">
        <v>2</v>
      </c>
      <c r="D9" s="5" t="s">
        <v>11</v>
      </c>
      <c r="E9" s="6" t="n">
        <v>46316</v>
      </c>
      <c r="F9" s="6" t="n">
        <v>46327</v>
      </c>
      <c r="G9" s="6" t="n">
        <v>46317</v>
      </c>
      <c r="H9" s="6" t="n">
        <v>46317</v>
      </c>
      <c r="I9" s="5" t="n">
        <v>2</v>
      </c>
      <c r="J9" s="5" t="s">
        <v>31</v>
      </c>
      <c r="K9" s="5" t="s">
        <v>75</v>
      </c>
      <c r="L9" s="5" t="s">
        <v>76</v>
      </c>
      <c r="M9" s="5" t="s">
        <v>77</v>
      </c>
      <c r="N9" s="5" t="s">
        <v>78</v>
      </c>
      <c r="O9" s="5" t="s">
        <v>79</v>
      </c>
    </row>
    <row r="10" customFormat="false" ht="57.45" hidden="false" customHeight="false" outlineLevel="0" collapsed="false">
      <c r="A10" s="5" t="n">
        <v>25</v>
      </c>
      <c r="B10" s="5" t="s">
        <v>80</v>
      </c>
      <c r="C10" s="5" t="n">
        <v>5</v>
      </c>
      <c r="D10" s="5" t="s">
        <v>11</v>
      </c>
      <c r="E10" s="6" t="n">
        <v>46316</v>
      </c>
      <c r="F10" s="6" t="n">
        <v>46327</v>
      </c>
      <c r="G10" s="6" t="n">
        <v>46322</v>
      </c>
      <c r="H10" s="6" t="n">
        <v>46322</v>
      </c>
      <c r="I10" s="5" t="n">
        <v>5</v>
      </c>
      <c r="J10" s="5" t="s">
        <v>31</v>
      </c>
      <c r="K10" s="5" t="s">
        <v>81</v>
      </c>
      <c r="L10" s="5" t="s">
        <v>82</v>
      </c>
      <c r="M10" s="5" t="s">
        <v>83</v>
      </c>
      <c r="N10" s="5" t="s">
        <v>84</v>
      </c>
      <c r="O10" s="5" t="s">
        <v>85</v>
      </c>
    </row>
    <row r="11" customFormat="false" ht="15" hidden="false" customHeight="true" outlineLevel="0" collapsed="false">
      <c r="A11" s="14" t="s">
        <v>86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</sheetData>
  <mergeCells count="3">
    <mergeCell ref="A1:O1"/>
    <mergeCell ref="A6:O6"/>
    <mergeCell ref="A11:O11"/>
  </mergeCells>
  <dataValidations count="2">
    <dataValidation allowBlank="false" errorStyle="stop" operator="between" showDropDown="false" showErrorMessage="false" showInputMessage="false" sqref="D7:D13" type="list">
      <formula1>"Phú,Kiệt"</formula1>
      <formula2>0</formula2>
    </dataValidation>
    <dataValidation allowBlank="false" errorStyle="stop" operator="between" showDropDown="false" showErrorMessage="false" showInputMessage="false" sqref="J7:J13" type="list">
      <formula1>"To Do,In Progress,Blocked,In Review,Done"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2026-10-27T09:18:22Z</dcterms:created>
  <dc:creator>openpyxl</dc:creator>
  <dc:description/>
  <dc:language>en-US</dc:language>
  <cp:lastModifiedBy/>
  <dcterms:modified xsi:type="dcterms:W3CDTF">2026-10-27T09:18:22Z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