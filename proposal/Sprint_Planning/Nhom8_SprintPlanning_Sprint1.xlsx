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Overview" sheetId="1" state="visible" r:id="rId3"/>
    <sheet name="Sprint Backlog" sheetId="2" state="visible" r:id="rId4"/>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<sst xmlns="http://schemas.openxmlformats.org/spreadsheetml/2006/main" count="129" uniqueCount="104">
  <si>
    <t xml:space="preserve">Hệ thống quản lý hoạt động và tính điểm rèn luyện - Sprint 1</t>
  </si>
  <si>
    <t xml:space="preserve">Mục</t>
  </si>
  <si>
    <t xml:space="preserve">Nội dung</t>
  </si>
  <si>
    <t xml:space="preserve">Sprint Goal</t>
  </si>
  <si>
    <t xml:space="preserve">Thiết lập nền tảng backend RESTful API (ASP.NET Core 8, EF Core, JWT), hoàn thành CRUD quản lý sinh viên, lớp trưởng, hoạt động cho Phòng QL HSSV và luồng xem, xem chi tiết, đăng ký hoạt động đầu tiên của sinh viên.</t>
  </si>
  <si>
    <t xml:space="preserve">Start Date (kế hoạch)</t>
  </si>
  <si>
    <t xml:space="preserve">End Date (kế hoạch)</t>
  </si>
  <si>
    <t xml:space="preserve">Act Start Date</t>
  </si>
  <si>
    <t xml:space="preserve">Act End Date</t>
  </si>
  <si>
    <t xml:space="preserve">Tổng Story Points</t>
  </si>
  <si>
    <t xml:space="preserve">Phú</t>
  </si>
  <si>
    <t xml:space="preserve">Kiệt</t>
  </si>
  <si>
    <t xml:space="preserve">Act Points</t>
  </si>
  <si>
    <t xml:space="preserve">Rủi ro chính</t>
  </si>
  <si>
    <t xml:space="preserve">Authentication (US-01) là nền cho các chức năng khác, trễ sẽ chặn US-04; nhiều sinh viên đăng ký cùng lúc có thể vượt sức chứa.</t>
  </si>
  <si>
    <t xml:space="preserve">Biện pháp</t>
  </si>
  <si>
    <t xml:space="preserve">Kiệt ưu tiên US-01 trong 1–2 ngày đầu, Phú dùng dữ liệu giả để làm US-02/03; US-04 dùng transaction và câu lệnh tăng số chỗ có điều kiện ở backend.</t>
  </si>
  <si>
    <t xml:space="preserve">Nguyên tắc phân công</t>
  </si>
  <si>
    <t xml:space="preserve">Kiệt: xác thực JWT và CRUD quản trị (US-01, US-17, US-19). Phú: luồng sinh viên và lớp trưởng (US-02, US-03, US-04, US-18), review và tích hợp.</t>
  </si>
  <si>
    <t xml:space="preserve">Sprint Planning Update — Thay đổi</t>
  </si>
  <si>
    <t xml:space="preserve">Thực tế bắt đầu code 23/09, hoàn tất increment 07/10 và demo tiến độ 1 ngày 08/10. Sprint giữ trạng thái In Review cho tới khi Sprint 2 bổ sung EF Core migration, integration test và route /api/v1 (US-28); đóng Sprint 1 ngày 27/10/2026.</t>
  </si>
  <si>
    <t xml:space="preserve">Sprint Planning Update — Lý do</t>
  </si>
  <si>
    <t xml:space="preserve">Khởi tạo project và chuyển về .NET 8 mất thêm thời gian; rà soát sau Sprint phát hiện lỗi phân quyền, concurrency khi đăng ký và cách băm mật khẩu cần sửa trước demo; CSDL triển khai bằng SQLite + EF Core thay cho SQL Server để hai thành viên chạy giống nhau.</t>
  </si>
  <si>
    <t xml:space="preserve">Thứ tự thực hiện</t>
  </si>
  <si>
    <t xml:space="preserve">Owner</t>
  </si>
  <si>
    <t xml:space="preserve">Điều kiện bắt đầu</t>
  </si>
  <si>
    <t xml:space="preserve">Kết quả</t>
  </si>
  <si>
    <t xml:space="preserve">Trạng thái</t>
  </si>
  <si>
    <t xml:space="preserve">Thiết kế CSDL và khởi tạo project ASP.NET Core</t>
  </si>
  <si>
    <t xml:space="preserve">Sprint Planning hoàn tất</t>
  </si>
  <si>
    <t xml:space="preserve">Entities, DbContext, seed data (7c84afe, 8134989)</t>
  </si>
  <si>
    <t xml:space="preserve">Done</t>
  </si>
  <si>
    <t xml:space="preserve">Triển khai story theo branch feature/kiet-api và feature/phu-api</t>
  </si>
  <si>
    <t xml:space="preserve">Kiệt/Phú</t>
  </si>
  <si>
    <t xml:space="preserve">CSDL và JWT sẵn sàng</t>
  </si>
  <si>
    <t xml:space="preserve">Increment US-01/17/19 và US-02/03/04/18</t>
  </si>
  <si>
    <t xml:space="preserve">Tích hợp, rà soát bảo mật và sửa lỗi</t>
  </si>
  <si>
    <t xml:space="preserve">Hai branch đã push</t>
  </si>
  <si>
    <t xml:space="preserve">main build sạch, lỗi phân quyền/concurrency đã sửa (be0daa4, 51b3bbc)</t>
  </si>
  <si>
    <t xml:space="preserve">Kiểm thử chức năng và demo tiến độ 1 bằng Swagger</t>
  </si>
  <si>
    <t xml:space="preserve">Phú/Kiệt</t>
  </si>
  <si>
    <t xml:space="preserve">Đã tích hợp</t>
  </si>
  <si>
    <t xml:space="preserve">Demo 08/10; integration test bổ sung ở Sprint 2</t>
  </si>
  <si>
    <t xml:space="preserve">Sprint Review và Retrospective</t>
  </si>
  <si>
    <t xml:space="preserve">Cả nhóm</t>
  </si>
  <si>
    <t xml:space="preserve">Đạt Definition of Done</t>
  </si>
  <si>
    <t xml:space="preserve">Action item chuyển sang Sprint 2 (migration, test, contract)</t>
  </si>
  <si>
    <t xml:space="preserve">Hệ thống quản lý hoạt động và tính điểm rèn luyện - Sprint 1 Backlog</t>
  </si>
  <si>
    <t xml:space="preserve">Story ID</t>
  </si>
  <si>
    <t xml:space="preserve">Story Name</t>
  </si>
  <si>
    <t xml:space="preserve">Points</t>
  </si>
  <si>
    <t xml:space="preserve">Name Of Dev</t>
  </si>
  <si>
    <t xml:space="preserve">Start Date</t>
  </si>
  <si>
    <t xml:space="preserve">End Date</t>
  </si>
  <si>
    <t xml:space="preserve">Status</t>
  </si>
  <si>
    <t xml:space="preserve">Dependencies</t>
  </si>
  <si>
    <t xml:space="preserve">Acceptance Criteria</t>
  </si>
  <si>
    <t xml:space="preserve">Technical Tasks</t>
  </si>
  <si>
    <t xml:space="preserve">Deliverable</t>
  </si>
  <si>
    <t xml:space="preserve">Notes</t>
  </si>
  <si>
    <t xml:space="preserve">Tổng Sprint Points</t>
  </si>
  <si>
    <t xml:space="preserve">Sprint 1</t>
  </si>
  <si>
    <t xml:space="preserve">Đăng nhập/Đăng xuất hệ thống qua Web/Mobile</t>
  </si>
  <si>
    <t xml:space="preserve">—</t>
  </si>
  <si>
    <t xml:space="preserve">Đăng nhập bằng mã sinh viên hoặc email; JWT chứa user id và role; token sai hoặc hết hạn bị từ chối; logout xóa token phía client.</t>
  </si>
  <si>
    <t xml:space="preserve">Auth contract; cấu hình JWT và role; endpoint login/me; Swagger Bearer; smoke test ba role</t>
  </si>
  <si>
    <t xml:space="preserve">JWT authentication API và tài liệu Swagger</t>
  </si>
  <si>
    <t xml:space="preserve">Commit 61652ac, fc25b6b. Từ Sprint 2 (US-25) token của tài khoản bị khóa/đổi quyền bị từ chối ngay.</t>
  </si>
  <si>
    <t xml:space="preserve">Quản lý thông tin sinh viên theo khóa, lớp và cơ sở</t>
  </si>
  <si>
    <t xml:space="preserve">1</t>
  </si>
  <si>
    <t xml:space="preserve">CRUD, tìm kiếm và lọc theo khóa/lớp/cơ sở; không lẫn tài khoản cán bộ; mã sinh viên và email duy nhất; không sửa trực tiếp role lớp trưởng hoặc điểm.</t>
  </si>
  <si>
    <t xml:space="preserve">Student DTO/service/controller; validation; phân trang/lọc; phân quyền quản trị</t>
  </si>
  <si>
    <t xml:space="preserve">API quản lý sinh viên</t>
  </si>
  <si>
    <t xml:space="preserve">Commit 76da32f; migration và integration test bổ sung ở US-28 (Sprint 2).</t>
  </si>
  <si>
    <t xml:space="preserve">Tạo, sửa, công bố/hủy và cấu hình điểm, thời hạn, sức chứa của hoạt động</t>
  </si>
  <si>
    <t xml:space="preserve">Validate thời gian, điểm và sức chứa; trạng thái thuộc tập cho phép; không giảm sức chứa dưới số đã đăng ký; chỉ Phòng QL HSSV thao tác.</t>
  </si>
  <si>
    <t xml:space="preserve">Activity entity/DTO/service/controller; status endpoint; validation</t>
  </si>
  <si>
    <t xml:space="preserve">API quản lý hoạt động</t>
  </si>
  <si>
    <t xml:space="preserve">Commit b292e78; nhiều buổi/cơ sở và đối tượng tham gia hoàn thiện ở US-27 (Sprint 2).</t>
  </si>
  <si>
    <t xml:space="preserve">Xem danh sách hoạt động phù hợp, sắp tới hoặc đang mở đăng ký và số chỗ còn lại</t>
  </si>
  <si>
    <t xml:space="preserve">1, 19</t>
  </si>
  <si>
    <t xml:space="preserve">Chỉ trả hoạt động Published chưa kết thúc; phân trang, lọc cơ sở và tìm kiếm; hiển thị số chỗ đã đăng ký/tối đa; không lộ Draft.</t>
  </si>
  <si>
    <t xml:space="preserve">DTO list; query/filter/paging; StudentActivitiesController</t>
  </si>
  <si>
    <t xml:space="preserve">API danh sách hoạt động cho Student/Monitor</t>
  </si>
  <si>
    <t xml:space="preserve">Commit 585a2fe; lọc theo đối tượng tham gia bổ sung ở US-27.</t>
  </si>
  <si>
    <t xml:space="preserve">Xem chi tiết hoạt động (lịch, địa điểm/cơ sở, đơn vị tổ chức, điều kiện, điểm)</t>
  </si>
  <si>
    <t xml:space="preserve">2</t>
  </si>
  <si>
    <t xml:space="preserve">Hiển thị thời gian, địa điểm, cơ sở, điểm, sức chứa và trạng thái; Draft/Cancelled/đã kết thúc trả 404 với sinh viên.</t>
  </si>
  <si>
    <t xml:space="preserve">DTO detail; endpoint detail; kiểm tra trạng thái</t>
  </si>
  <si>
    <t xml:space="preserve">API chi tiết hoạt động</t>
  </si>
  <si>
    <t xml:space="preserve">Commit 585a2fe, be0daa4.</t>
  </si>
  <si>
    <t xml:space="preserve">Đăng ký hoạt động khi đúng đối tượng, còn hạn và còn chỗ</t>
  </si>
  <si>
    <t xml:space="preserve">1, 2, 3, 19</t>
  </si>
  <si>
    <t xml:space="preserve">Chỉ Student/Monitor; trong cửa sổ đăng ký; không trùng; tăng số chỗ nguyên tử; khi tranh chỗ cuối chỉ một request thành công.</t>
  </si>
  <si>
    <t xml:space="preserve">Transaction Serializable; unique index; conditional capacity update; endpoint</t>
  </si>
  <si>
    <t xml:space="preserve">API đăng ký an toàn đồng thời</t>
  </si>
  <si>
    <t xml:space="preserve">Commit 585a2fe, be0daa4; kiểm tra đúng đối tượng bổ sung ở US-27.</t>
  </si>
  <si>
    <t xml:space="preserve">Quản lý lớp và chỉ định lớp trưởng</t>
  </si>
  <si>
    <t xml:space="preserve">1, 17</t>
  </si>
  <si>
    <t xml:space="preserve">Tạo/xem lớp; lớp trưởng phải thuộc lớp; khi thay đổi phải đồng bộ role/IsClassMonitor và gỡ lớp trưởng cũ.</t>
  </si>
  <si>
    <t xml:space="preserve">Class relationship; endpoints; gán lớp trưởng</t>
  </si>
  <si>
    <t xml:space="preserve">API lớp và lớp trưởng</t>
  </si>
  <si>
    <t xml:space="preserve">Commit 585a2fe. Nợ kỹ thuật: sửa/xóa lớp, gỡ lớp trưởng.</t>
  </si>
  <si>
    <t xml:space="preserve">Definition of Done: đạt Acceptance Criteria, build/test sạch, Swagger/API contract cập nhật, migration và hướng dẫn pull/update DB đầy đủ khi có thay đổi.</t>
  </si>
</sst>
</file>

<file path=xl/styles.xml><?xml version="1.0" encoding="utf-8"?>
<styleSheet xmlns="http://schemas.openxmlformats.org/spreadsheetml/2006/main">
  <numFmts count="2">
    <numFmt numFmtId="164" formatCode="General"/>
    <numFmt numFmtId="165" formatCode="dd/mm/yyyy"/>
  </numFmts>
  <fonts count="12">
    <font>
      <sz val="10"/>
      <name val="Arial"/>
      <family val="2"/>
    </font>
    <font>
      <sz val="10"/>
      <name val="Arial"/>
      <family val="0"/>
    </font>
    <font>
      <sz val="10"/>
      <name val="Arial"/>
      <family val="0"/>
    </font>
    <font>
      <sz val="10"/>
      <name val="Arial"/>
      <family val="0"/>
    </font>
    <font>
      <sz val="11"/>
      <name val="Calibri"/>
      <family val="0"/>
      <charset val="1"/>
    </font>
    <font>
      <b val="true"/>
      <sz val="15"/>
      <color rgb="FF000000"/>
      <name val="Arial"/>
      <family val="0"/>
      <charset val="1"/>
    </font>
    <font>
      <sz val="11"/>
      <name val="Arial"/>
      <family val="0"/>
      <charset val="1"/>
    </font>
    <font>
      <b val="true"/>
      <sz val="10"/>
      <color rgb="FFFFFFFF"/>
      <name val="Arial"/>
      <family val="0"/>
      <charset val="1"/>
    </font>
    <font>
      <sz val="10"/>
      <color rgb="FF222222"/>
      <name val="Arial"/>
      <family val="0"/>
      <charset val="1"/>
    </font>
    <font>
      <b val="true"/>
      <sz val="10"/>
      <color rgb="FF000000"/>
      <name val="Arial"/>
      <family val="0"/>
      <charset val="1"/>
    </font>
    <font>
      <b val="true"/>
      <sz val="11"/>
      <color rgb="FF000000"/>
      <name val="Arial"/>
      <family val="0"/>
      <charset val="1"/>
    </font>
    <font>
      <b val="true"/>
      <sz val="9"/>
      <color rgb="FF000000"/>
      <name val="Arial"/>
      <family val="0"/>
      <charset val="1"/>
    </font>
  </fonts>
  <fills count="6">
    <fill>
      <patternFill patternType="none"/>
    </fill>
    <fill>
      <patternFill patternType="gray125"/>
    </fill>
    <fill>
      <patternFill patternType="solid">
        <fgColor rgb="FF17365D"/>
        <bgColor rgb="FF1F4E78"/>
      </patternFill>
    </fill>
    <fill>
      <patternFill patternType="solid">
        <fgColor rgb="FFD9D9D9"/>
        <bgColor rgb="FFD9E2F3"/>
      </patternFill>
    </fill>
    <fill>
      <patternFill patternType="solid">
        <fgColor rgb="FFCCFFFF"/>
        <bgColor rgb="FFCCFFCC"/>
      </patternFill>
    </fill>
    <fill>
      <patternFill patternType="solid">
        <fgColor rgb="FFCCFFCC"/>
        <bgColor rgb="FFCCFFFF"/>
      </patternFill>
    </fill>
  </fills>
  <borders count="3">
    <border diagonalUp="false" diagonalDown="false">
      <left/>
      <right/>
      <top/>
      <bottom/>
      <diagonal/>
    </border>
    <border diagonalUp="false" diagonalDown="false">
      <left style="thin">
        <color rgb="FFB7C9DB"/>
      </left>
      <right style="thin">
        <color rgb="FFB7C9DB"/>
      </right>
      <top style="thin">
        <color rgb="FFB7C9DB"/>
      </top>
      <bottom style="thin">
        <color rgb="FFB7C9DB"/>
      </bottom>
      <diagonal/>
    </border>
    <border diagonalUp="false" diagonalDown="false">
      <left style="thin">
        <color rgb="FFD9E2F3"/>
      </left>
      <right style="thin">
        <color rgb="FFD9E2F3"/>
      </right>
      <top style="thin">
        <color rgb="FFD9E2F3"/>
      </top>
      <bottom style="thin">
        <color rgb="FFD9E2F3"/>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left" vertical="center" textRotation="0" wrapText="false" indent="0" shrinkToFit="false"/>
      <protection locked="true" hidden="false"/>
    </xf>
    <xf numFmtId="164" fontId="6" fillId="0" borderId="0" xfId="20" applyFont="true" applyBorder="false" applyAlignment="false" applyProtection="false">
      <alignment horizontal="general" vertical="bottom" textRotation="0" wrapText="false" indent="0" shrinkToFit="false"/>
      <protection locked="true" hidden="false"/>
    </xf>
    <xf numFmtId="164" fontId="7" fillId="2" borderId="1"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bottom" textRotation="0" wrapText="true" indent="0" shrinkToFit="false"/>
      <protection locked="true" hidden="false"/>
    </xf>
    <xf numFmtId="164" fontId="8" fillId="0" borderId="2" xfId="20" applyFont="true" applyBorder="true" applyAlignment="true" applyProtection="false">
      <alignment horizontal="general" vertical="center" textRotation="0" wrapText="true" indent="0" shrinkToFit="false"/>
      <protection locked="true" hidden="false"/>
    </xf>
    <xf numFmtId="165" fontId="8" fillId="0" borderId="2"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true" applyProtection="false">
      <alignment horizontal="center" vertical="center" textRotation="0" wrapText="true" indent="0" shrinkToFit="false"/>
      <protection locked="true" hidden="false"/>
    </xf>
    <xf numFmtId="164" fontId="8" fillId="0" borderId="0" xfId="20" applyFont="true" applyBorder="true" applyAlignment="true" applyProtection="false">
      <alignment horizontal="general" vertical="center" textRotation="0" wrapText="true" indent="0" shrinkToFit="false"/>
      <protection locked="true" hidden="false"/>
    </xf>
    <xf numFmtId="164" fontId="8" fillId="0" borderId="0" xfId="20" applyFont="true" applyBorder="true" applyAlignment="false" applyProtection="false">
      <alignment horizontal="general" vertical="bottom" textRotation="0" wrapText="false" indent="0" shrinkToFit="false"/>
      <protection locked="true" hidden="false"/>
    </xf>
    <xf numFmtId="164" fontId="5" fillId="0" borderId="0" xfId="20" applyFont="true" applyBorder="true" applyAlignment="true" applyProtection="false">
      <alignment horizontal="center" vertical="bottom" textRotation="0" wrapText="false" indent="0" shrinkToFit="false"/>
      <protection locked="true" hidden="false"/>
    </xf>
    <xf numFmtId="164" fontId="9" fillId="3" borderId="1" xfId="20" applyFont="true" applyBorder="true" applyAlignment="true" applyProtection="false">
      <alignment horizontal="center" vertical="center" textRotation="0" wrapText="true" indent="0" shrinkToFit="false"/>
      <protection locked="true" hidden="false"/>
    </xf>
    <xf numFmtId="164" fontId="6" fillId="0" borderId="0" xfId="20" applyFont="true" applyBorder="false" applyAlignment="true" applyProtection="false">
      <alignment horizontal="general" vertical="center" textRotation="0" wrapText="false" indent="0" shrinkToFit="false"/>
      <protection locked="true" hidden="false"/>
    </xf>
    <xf numFmtId="164" fontId="10" fillId="4" borderId="0" xfId="20" applyFont="true" applyBorder="true" applyAlignment="true" applyProtection="false">
      <alignment horizontal="center" vertical="center" textRotation="0" wrapText="false" indent="0" shrinkToFit="false"/>
      <protection locked="true" hidden="false"/>
    </xf>
    <xf numFmtId="164" fontId="11" fillId="5"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B"/>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1F4E78"/>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65D"/>
    <pageSetUpPr fitToPage="false"/>
  </sheetPr>
  <dimension ref="A2:F4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8"/>
    <col collapsed="false" customWidth="true" hidden="false" outlineLevel="0" max="3" min="3" style="0" width="18"/>
    <col collapsed="false" customWidth="true" hidden="false" outlineLevel="0" max="5" min="4" style="0" width="42"/>
    <col collapsed="false" customWidth="true" hidden="false" outlineLevel="0" max="6" min="6" style="0" width="16"/>
  </cols>
  <sheetData>
    <row r="2" customFormat="false" ht="27.75" hidden="false" customHeight="true" outlineLevel="0" collapsed="false">
      <c r="A2" s="1" t="s">
        <v>0</v>
      </c>
      <c r="B2" s="1"/>
      <c r="C2" s="1"/>
      <c r="D2" s="1"/>
      <c r="E2" s="1"/>
      <c r="F2" s="1"/>
    </row>
    <row r="3" customFormat="false" ht="15" hidden="false" customHeight="false" outlineLevel="0" collapsed="false">
      <c r="A3" s="2"/>
      <c r="B3" s="2"/>
      <c r="C3" s="2"/>
      <c r="D3" s="2"/>
      <c r="E3" s="2"/>
      <c r="F3" s="2"/>
    </row>
    <row r="4" customFormat="false" ht="30" hidden="false" customHeight="true" outlineLevel="0" collapsed="false">
      <c r="A4" s="3" t="s">
        <v>1</v>
      </c>
      <c r="B4" s="3" t="s">
        <v>2</v>
      </c>
      <c r="C4" s="4"/>
      <c r="D4" s="4"/>
      <c r="E4" s="4"/>
      <c r="F4" s="4"/>
    </row>
    <row r="5" customFormat="false" ht="35.05" hidden="false" customHeight="false" outlineLevel="0" collapsed="false">
      <c r="A5" s="5" t="s">
        <v>3</v>
      </c>
      <c r="B5" s="5" t="s">
        <v>4</v>
      </c>
      <c r="C5" s="4"/>
      <c r="D5" s="4"/>
      <c r="E5" s="4"/>
      <c r="F5" s="4"/>
    </row>
    <row r="6" customFormat="false" ht="15" hidden="false" customHeight="false" outlineLevel="0" collapsed="false">
      <c r="A6" s="5" t="s">
        <v>5</v>
      </c>
      <c r="B6" s="6" t="n">
        <v>46279</v>
      </c>
      <c r="C6" s="4"/>
      <c r="D6" s="4"/>
      <c r="E6" s="4"/>
      <c r="F6" s="4"/>
    </row>
    <row r="7" customFormat="false" ht="15" hidden="false" customHeight="false" outlineLevel="0" collapsed="false">
      <c r="A7" s="5" t="s">
        <v>6</v>
      </c>
      <c r="B7" s="6" t="n">
        <v>46286</v>
      </c>
      <c r="C7" s="4"/>
      <c r="D7" s="4"/>
      <c r="E7" s="4"/>
      <c r="F7" s="4"/>
    </row>
    <row r="8" customFormat="false" ht="15" hidden="false" customHeight="false" outlineLevel="0" collapsed="false">
      <c r="A8" s="5" t="s">
        <v>7</v>
      </c>
      <c r="B8" s="6" t="n">
        <v>46288</v>
      </c>
      <c r="C8" s="4"/>
      <c r="D8" s="4"/>
      <c r="E8" s="4"/>
      <c r="F8" s="4"/>
    </row>
    <row r="9" customFormat="false" ht="15" hidden="false" customHeight="false" outlineLevel="0" collapsed="false">
      <c r="A9" s="5" t="s">
        <v>8</v>
      </c>
      <c r="B9" s="6" t="n">
        <v>46302</v>
      </c>
      <c r="C9" s="4"/>
      <c r="D9" s="4"/>
      <c r="E9" s="4"/>
      <c r="F9" s="4"/>
    </row>
    <row r="10" customFormat="false" ht="15" hidden="false" customHeight="false" outlineLevel="0" collapsed="false">
      <c r="A10" s="5" t="s">
        <v>9</v>
      </c>
      <c r="B10" s="5" t="n">
        <f aca="false">SUM('Sprint Backlog'!C7:C13)</f>
        <v>23</v>
      </c>
      <c r="C10" s="4"/>
      <c r="D10" s="4"/>
      <c r="E10" s="4"/>
      <c r="F10" s="4"/>
    </row>
    <row r="11" customFormat="false" ht="15" hidden="false" customHeight="false" outlineLevel="0" collapsed="false">
      <c r="A11" s="5" t="s">
        <v>10</v>
      </c>
      <c r="B11" s="5" t="n">
        <f aca="false">SUMIFS('Sprint Backlog'!C7:C13,'Sprint Backlog'!D7:D13,"Phú")</f>
        <v>11</v>
      </c>
      <c r="C11" s="4"/>
      <c r="D11" s="4"/>
      <c r="E11" s="4"/>
      <c r="F11" s="4"/>
    </row>
    <row r="12" customFormat="false" ht="15" hidden="false" customHeight="false" outlineLevel="0" collapsed="false">
      <c r="A12" s="5" t="s">
        <v>11</v>
      </c>
      <c r="B12" s="5" t="n">
        <f aca="false">SUMIFS('Sprint Backlog'!C7:C13,'Sprint Backlog'!D7:D13,"Kiệt")</f>
        <v>12</v>
      </c>
      <c r="C12" s="4"/>
      <c r="D12" s="4"/>
      <c r="E12" s="4"/>
      <c r="F12" s="4"/>
    </row>
    <row r="13" customFormat="false" ht="15" hidden="false" customHeight="false" outlineLevel="0" collapsed="false">
      <c r="A13" s="5" t="s">
        <v>12</v>
      </c>
      <c r="B13" s="5" t="n">
        <f aca="false">SUM('Sprint Backlog'!I7:I13)</f>
        <v>23</v>
      </c>
      <c r="C13" s="4"/>
      <c r="D13" s="4"/>
      <c r="E13" s="4"/>
      <c r="F13" s="4"/>
    </row>
    <row r="14" customFormat="false" ht="23.85" hidden="false" customHeight="false" outlineLevel="0" collapsed="false">
      <c r="A14" s="5" t="s">
        <v>13</v>
      </c>
      <c r="B14" s="5" t="s">
        <v>14</v>
      </c>
      <c r="C14" s="7"/>
      <c r="D14" s="7"/>
      <c r="E14" s="7"/>
      <c r="F14" s="7"/>
    </row>
    <row r="15" customFormat="false" ht="23.85" hidden="false" customHeight="false" outlineLevel="0" collapsed="false">
      <c r="A15" s="5" t="s">
        <v>15</v>
      </c>
      <c r="B15" s="5" t="s">
        <v>16</v>
      </c>
      <c r="C15" s="8"/>
      <c r="D15" s="8"/>
      <c r="E15" s="8"/>
      <c r="F15" s="8"/>
    </row>
    <row r="16" customFormat="false" ht="23.85" hidden="false" customHeight="false" outlineLevel="0" collapsed="false">
      <c r="A16" s="5" t="s">
        <v>17</v>
      </c>
      <c r="B16" s="5" t="s">
        <v>18</v>
      </c>
      <c r="C16" s="8"/>
      <c r="D16" s="8"/>
      <c r="E16" s="8"/>
      <c r="F16" s="8"/>
    </row>
    <row r="17" customFormat="false" ht="35.05" hidden="false" customHeight="false" outlineLevel="0" collapsed="false">
      <c r="A17" s="5" t="s">
        <v>19</v>
      </c>
      <c r="B17" s="5" t="s">
        <v>20</v>
      </c>
      <c r="C17" s="8"/>
      <c r="D17" s="8"/>
      <c r="E17" s="8"/>
      <c r="F17" s="8"/>
    </row>
    <row r="18" customFormat="false" ht="35.05" hidden="false" customHeight="false" outlineLevel="0" collapsed="false">
      <c r="A18" s="5" t="s">
        <v>21</v>
      </c>
      <c r="B18" s="5" t="s">
        <v>22</v>
      </c>
      <c r="C18" s="8"/>
      <c r="D18" s="8"/>
      <c r="E18" s="8"/>
      <c r="F18" s="8"/>
    </row>
    <row r="19" customFormat="false" ht="15" hidden="false" customHeight="false" outlineLevel="0" collapsed="false">
      <c r="A19" s="8"/>
      <c r="B19" s="8"/>
      <c r="C19" s="8"/>
      <c r="D19" s="8"/>
      <c r="E19" s="8"/>
      <c r="F19" s="8"/>
    </row>
    <row r="20" customFormat="false" ht="30" hidden="false" customHeight="true" outlineLevel="0" collapsed="false">
      <c r="A20" s="3" t="s">
        <v>23</v>
      </c>
      <c r="B20" s="3" t="s">
        <v>2</v>
      </c>
      <c r="C20" s="3" t="s">
        <v>24</v>
      </c>
      <c r="D20" s="3" t="s">
        <v>25</v>
      </c>
      <c r="E20" s="3" t="s">
        <v>26</v>
      </c>
      <c r="F20" s="3" t="s">
        <v>27</v>
      </c>
    </row>
    <row r="21" customFormat="false" ht="15" hidden="false" customHeight="false" outlineLevel="0" collapsed="false">
      <c r="A21" s="5" t="n">
        <v>1</v>
      </c>
      <c r="B21" s="5" t="s">
        <v>28</v>
      </c>
      <c r="C21" s="5" t="s">
        <v>11</v>
      </c>
      <c r="D21" s="5" t="s">
        <v>29</v>
      </c>
      <c r="E21" s="5" t="s">
        <v>30</v>
      </c>
      <c r="F21" s="5" t="s">
        <v>31</v>
      </c>
    </row>
    <row r="22" customFormat="false" ht="15" hidden="false" customHeight="false" outlineLevel="0" collapsed="false">
      <c r="A22" s="5" t="n">
        <v>2</v>
      </c>
      <c r="B22" s="5" t="s">
        <v>32</v>
      </c>
      <c r="C22" s="5" t="s">
        <v>33</v>
      </c>
      <c r="D22" s="5" t="s">
        <v>34</v>
      </c>
      <c r="E22" s="5" t="s">
        <v>35</v>
      </c>
      <c r="F22" s="5" t="s">
        <v>31</v>
      </c>
    </row>
    <row r="23" customFormat="false" ht="23.85" hidden="false" customHeight="false" outlineLevel="0" collapsed="false">
      <c r="A23" s="5" t="n">
        <v>3</v>
      </c>
      <c r="B23" s="5" t="s">
        <v>36</v>
      </c>
      <c r="C23" s="5" t="s">
        <v>10</v>
      </c>
      <c r="D23" s="5" t="s">
        <v>37</v>
      </c>
      <c r="E23" s="5" t="s">
        <v>38</v>
      </c>
      <c r="F23" s="5" t="s">
        <v>31</v>
      </c>
    </row>
    <row r="24" customFormat="false" ht="15" hidden="false" customHeight="false" outlineLevel="0" collapsed="false">
      <c r="A24" s="5" t="n">
        <v>4</v>
      </c>
      <c r="B24" s="5" t="s">
        <v>39</v>
      </c>
      <c r="C24" s="5" t="s">
        <v>40</v>
      </c>
      <c r="D24" s="5" t="s">
        <v>41</v>
      </c>
      <c r="E24" s="5" t="s">
        <v>42</v>
      </c>
      <c r="F24" s="5" t="s">
        <v>31</v>
      </c>
    </row>
    <row r="25" customFormat="false" ht="23.85" hidden="false" customHeight="false" outlineLevel="0" collapsed="false">
      <c r="A25" s="5" t="n">
        <v>5</v>
      </c>
      <c r="B25" s="5" t="s">
        <v>43</v>
      </c>
      <c r="C25" s="5" t="s">
        <v>44</v>
      </c>
      <c r="D25" s="5" t="s">
        <v>45</v>
      </c>
      <c r="E25" s="5" t="s">
        <v>46</v>
      </c>
      <c r="F25" s="5" t="s">
        <v>31</v>
      </c>
    </row>
    <row r="26" customFormat="false" ht="15" hidden="false" customHeight="false" outlineLevel="0" collapsed="false">
      <c r="A26" s="9"/>
      <c r="B26" s="9"/>
      <c r="C26" s="9"/>
      <c r="D26" s="9"/>
      <c r="E26" s="9"/>
      <c r="F26" s="9"/>
    </row>
    <row r="27" customFormat="false" ht="15" hidden="false" customHeight="false" outlineLevel="0" collapsed="false">
      <c r="A27" s="9"/>
      <c r="B27" s="9"/>
      <c r="C27" s="9"/>
      <c r="D27" s="9"/>
      <c r="E27" s="9"/>
      <c r="F27" s="9"/>
    </row>
    <row r="28" customFormat="false" ht="15" hidden="false" customHeight="false" outlineLevel="0" collapsed="false">
      <c r="A28" s="9"/>
      <c r="B28" s="9"/>
      <c r="C28" s="9"/>
      <c r="D28" s="9"/>
      <c r="E28" s="9"/>
      <c r="F28" s="9"/>
    </row>
    <row r="29" customFormat="false" ht="15" hidden="false" customHeight="false" outlineLevel="0" collapsed="false">
      <c r="A29" s="9"/>
      <c r="B29" s="9"/>
      <c r="C29" s="9"/>
      <c r="D29" s="9"/>
      <c r="E29" s="9"/>
      <c r="F29" s="9"/>
    </row>
    <row r="30" customFormat="false" ht="15" hidden="false" customHeight="false" outlineLevel="0" collapsed="false">
      <c r="A30" s="9"/>
      <c r="B30" s="9"/>
      <c r="C30" s="9"/>
      <c r="D30" s="9"/>
      <c r="E30" s="9"/>
      <c r="F30" s="9"/>
    </row>
    <row r="31" customFormat="false" ht="15" hidden="false" customHeight="false" outlineLevel="0" collapsed="false">
      <c r="A31" s="9"/>
      <c r="B31" s="9"/>
      <c r="C31" s="9"/>
      <c r="D31" s="9"/>
      <c r="E31" s="9"/>
      <c r="F31" s="9"/>
    </row>
    <row r="32" customFormat="false" ht="15" hidden="false" customHeight="false" outlineLevel="0" collapsed="false">
      <c r="A32" s="9"/>
      <c r="B32" s="9"/>
      <c r="C32" s="9"/>
      <c r="D32" s="9"/>
      <c r="E32" s="9"/>
      <c r="F32" s="9"/>
    </row>
    <row r="33" customFormat="false" ht="15" hidden="false" customHeight="false" outlineLevel="0" collapsed="false">
      <c r="A33" s="9"/>
      <c r="B33" s="9"/>
      <c r="C33" s="9"/>
      <c r="D33" s="9"/>
      <c r="E33" s="9"/>
      <c r="F33" s="9"/>
    </row>
    <row r="34" customFormat="false" ht="15" hidden="false" customHeight="false" outlineLevel="0" collapsed="false">
      <c r="A34" s="9"/>
      <c r="B34" s="9"/>
      <c r="C34" s="9"/>
      <c r="D34" s="9"/>
      <c r="E34" s="9"/>
      <c r="F34" s="9"/>
    </row>
    <row r="35" customFormat="false" ht="15" hidden="false" customHeight="false" outlineLevel="0" collapsed="false">
      <c r="A35" s="9"/>
      <c r="B35" s="9"/>
      <c r="C35" s="9"/>
      <c r="D35" s="9"/>
      <c r="E35" s="9"/>
      <c r="F35" s="9"/>
    </row>
    <row r="36" customFormat="false" ht="15" hidden="false" customHeight="false" outlineLevel="0" collapsed="false">
      <c r="A36" s="9"/>
      <c r="B36" s="9"/>
      <c r="C36" s="9"/>
      <c r="D36" s="9"/>
      <c r="E36" s="9"/>
      <c r="F36" s="9"/>
    </row>
    <row r="37" customFormat="false" ht="15" hidden="false" customHeight="false" outlineLevel="0" collapsed="false">
      <c r="A37" s="9"/>
      <c r="B37" s="9"/>
      <c r="C37" s="9"/>
      <c r="D37" s="9"/>
      <c r="E37" s="9"/>
      <c r="F37" s="9"/>
    </row>
    <row r="38" customFormat="false" ht="15" hidden="false" customHeight="false" outlineLevel="0" collapsed="false">
      <c r="A38" s="9"/>
      <c r="B38" s="9"/>
      <c r="C38" s="9"/>
      <c r="D38" s="9"/>
      <c r="E38" s="9"/>
      <c r="F38" s="9"/>
    </row>
    <row r="39" customFormat="false" ht="15" hidden="false" customHeight="false" outlineLevel="0" collapsed="false">
      <c r="A39" s="9"/>
      <c r="B39" s="9"/>
      <c r="C39" s="9"/>
      <c r="D39" s="9"/>
      <c r="E39" s="9"/>
      <c r="F39" s="9"/>
    </row>
    <row r="40" customFormat="false" ht="15" hidden="false" customHeight="false" outlineLevel="0" collapsed="false">
      <c r="A40" s="9"/>
      <c r="B40" s="9"/>
      <c r="C40" s="9"/>
      <c r="D40" s="9"/>
      <c r="E40" s="9"/>
      <c r="F40" s="9"/>
    </row>
  </sheetData>
  <mergeCells count="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8"/>
    <col collapsed="false" customWidth="true" hidden="false" outlineLevel="0" max="4" min="3" style="0" width="13"/>
    <col collapsed="false" customWidth="true" hidden="false" outlineLevel="0" max="10" min="5" style="0" width="15"/>
    <col collapsed="false" customWidth="true" hidden="false" outlineLevel="0" max="11" min="11" style="0" width="20"/>
    <col collapsed="false" customWidth="true" hidden="false" outlineLevel="0" max="12" min="12" style="0" width="78"/>
    <col collapsed="false" customWidth="true" hidden="false" outlineLevel="0" max="13" min="13" style="0" width="72"/>
    <col collapsed="false" customWidth="true" hidden="false" outlineLevel="0" max="14" min="14" style="0" width="48"/>
    <col collapsed="false" customWidth="true" hidden="false" outlineLevel="0" max="15" min="15" style="0" width="55"/>
  </cols>
  <sheetData>
    <row r="1" customFormat="false" ht="30" hidden="false" customHeight="true" outlineLevel="0" collapsed="false">
      <c r="A1" s="10" t="s">
        <v>47</v>
      </c>
      <c r="B1" s="10"/>
      <c r="C1" s="10"/>
      <c r="D1" s="10"/>
      <c r="E1" s="10"/>
      <c r="F1" s="10"/>
      <c r="G1" s="10"/>
      <c r="H1" s="10"/>
      <c r="I1" s="10"/>
      <c r="J1" s="10"/>
      <c r="K1" s="10"/>
      <c r="L1" s="10"/>
      <c r="M1" s="10"/>
      <c r="N1" s="10"/>
      <c r="O1" s="10"/>
    </row>
    <row r="2" customFormat="false" ht="15" hidden="false" customHeight="false" outlineLevel="0" collapsed="false">
      <c r="A2" s="2"/>
      <c r="B2" s="2"/>
      <c r="C2" s="2"/>
      <c r="D2" s="2"/>
      <c r="E2" s="2"/>
      <c r="F2" s="2"/>
      <c r="G2" s="2"/>
      <c r="H2" s="2"/>
      <c r="I2" s="2"/>
      <c r="J2" s="2"/>
      <c r="K2" s="2"/>
      <c r="L2" s="2"/>
      <c r="M2" s="2"/>
      <c r="N2" s="2"/>
      <c r="O2" s="2"/>
    </row>
    <row r="3" customFormat="false" ht="15" hidden="false" customHeight="false" outlineLevel="0" collapsed="false">
      <c r="A3" s="2"/>
      <c r="B3" s="2"/>
      <c r="C3" s="2"/>
      <c r="D3" s="2"/>
      <c r="E3" s="2"/>
      <c r="F3" s="2"/>
      <c r="G3" s="2"/>
      <c r="H3" s="2"/>
      <c r="I3" s="2"/>
      <c r="J3" s="2"/>
      <c r="K3" s="2"/>
      <c r="L3" s="2"/>
      <c r="M3" s="2"/>
      <c r="N3" s="2"/>
      <c r="O3" s="2"/>
    </row>
    <row r="4" customFormat="false" ht="30" hidden="false" customHeight="true" outlineLevel="0" collapsed="false">
      <c r="A4" s="11" t="s">
        <v>48</v>
      </c>
      <c r="B4" s="11" t="s">
        <v>49</v>
      </c>
      <c r="C4" s="11" t="s">
        <v>50</v>
      </c>
      <c r="D4" s="11" t="s">
        <v>51</v>
      </c>
      <c r="E4" s="11" t="s">
        <v>52</v>
      </c>
      <c r="F4" s="11" t="s">
        <v>53</v>
      </c>
      <c r="G4" s="11" t="s">
        <v>7</v>
      </c>
      <c r="H4" s="11" t="s">
        <v>8</v>
      </c>
      <c r="I4" s="11" t="s">
        <v>12</v>
      </c>
      <c r="J4" s="11" t="s">
        <v>54</v>
      </c>
      <c r="K4" s="11" t="s">
        <v>55</v>
      </c>
      <c r="L4" s="11" t="s">
        <v>56</v>
      </c>
      <c r="M4" s="11" t="s">
        <v>57</v>
      </c>
      <c r="N4" s="11" t="s">
        <v>58</v>
      </c>
      <c r="O4" s="11" t="s">
        <v>59</v>
      </c>
    </row>
    <row r="5" customFormat="false" ht="15" hidden="false" customHeight="false" outlineLevel="0" collapsed="false">
      <c r="A5" s="12"/>
      <c r="B5" s="12" t="s">
        <v>60</v>
      </c>
      <c r="C5" s="12" t="n">
        <f aca="false">SUM(C7:C13)</f>
        <v>23</v>
      </c>
      <c r="D5" s="12"/>
      <c r="E5" s="12"/>
      <c r="F5" s="12"/>
      <c r="G5" s="12"/>
      <c r="H5" s="12"/>
      <c r="I5" s="12"/>
      <c r="J5" s="12"/>
      <c r="K5" s="12"/>
      <c r="L5" s="12"/>
      <c r="M5" s="12"/>
      <c r="N5" s="12"/>
      <c r="O5" s="12"/>
    </row>
    <row r="6" customFormat="false" ht="15" hidden="false" customHeight="false" outlineLevel="0" collapsed="false">
      <c r="A6" s="13" t="s">
        <v>61</v>
      </c>
      <c r="B6" s="13"/>
      <c r="C6" s="13"/>
      <c r="D6" s="13"/>
      <c r="E6" s="13"/>
      <c r="F6" s="13"/>
      <c r="G6" s="13"/>
      <c r="H6" s="13"/>
      <c r="I6" s="13"/>
      <c r="J6" s="13"/>
      <c r="K6" s="13"/>
      <c r="L6" s="13"/>
      <c r="M6" s="13"/>
      <c r="N6" s="13"/>
      <c r="O6" s="13"/>
    </row>
    <row r="7" customFormat="false" ht="23.85" hidden="false" customHeight="false" outlineLevel="0" collapsed="false">
      <c r="A7" s="5" t="n">
        <v>1</v>
      </c>
      <c r="B7" s="5" t="s">
        <v>62</v>
      </c>
      <c r="C7" s="5" t="n">
        <v>2</v>
      </c>
      <c r="D7" s="5" t="s">
        <v>11</v>
      </c>
      <c r="E7" s="6" t="n">
        <v>46279</v>
      </c>
      <c r="F7" s="6" t="n">
        <v>46286</v>
      </c>
      <c r="G7" s="6" t="n">
        <v>46288</v>
      </c>
      <c r="H7" s="6" t="n">
        <v>46302</v>
      </c>
      <c r="I7" s="5" t="n">
        <v>2</v>
      </c>
      <c r="J7" s="5" t="s">
        <v>31</v>
      </c>
      <c r="K7" s="5" t="s">
        <v>63</v>
      </c>
      <c r="L7" s="5" t="s">
        <v>64</v>
      </c>
      <c r="M7" s="5" t="s">
        <v>65</v>
      </c>
      <c r="N7" s="5" t="s">
        <v>66</v>
      </c>
      <c r="O7" s="5" t="s">
        <v>67</v>
      </c>
    </row>
    <row r="8" customFormat="false" ht="23.85" hidden="false" customHeight="false" outlineLevel="0" collapsed="false">
      <c r="A8" s="5" t="n">
        <v>17</v>
      </c>
      <c r="B8" s="5" t="s">
        <v>68</v>
      </c>
      <c r="C8" s="5" t="n">
        <v>5</v>
      </c>
      <c r="D8" s="5" t="s">
        <v>11</v>
      </c>
      <c r="E8" s="6" t="n">
        <v>46279</v>
      </c>
      <c r="F8" s="6" t="n">
        <v>46286</v>
      </c>
      <c r="G8" s="6" t="n">
        <v>46288</v>
      </c>
      <c r="H8" s="6" t="n">
        <v>46302</v>
      </c>
      <c r="I8" s="5" t="n">
        <v>5</v>
      </c>
      <c r="J8" s="5" t="s">
        <v>31</v>
      </c>
      <c r="K8" s="5" t="s">
        <v>69</v>
      </c>
      <c r="L8" s="5" t="s">
        <v>70</v>
      </c>
      <c r="M8" s="5" t="s">
        <v>71</v>
      </c>
      <c r="N8" s="5" t="s">
        <v>72</v>
      </c>
      <c r="O8" s="5" t="s">
        <v>73</v>
      </c>
    </row>
    <row r="9" customFormat="false" ht="23.85" hidden="false" customHeight="false" outlineLevel="0" collapsed="false">
      <c r="A9" s="5" t="n">
        <v>19</v>
      </c>
      <c r="B9" s="5" t="s">
        <v>74</v>
      </c>
      <c r="C9" s="5" t="n">
        <v>5</v>
      </c>
      <c r="D9" s="5" t="s">
        <v>11</v>
      </c>
      <c r="E9" s="6" t="n">
        <v>46279</v>
      </c>
      <c r="F9" s="6" t="n">
        <v>46286</v>
      </c>
      <c r="G9" s="6" t="n">
        <v>46288</v>
      </c>
      <c r="H9" s="6" t="n">
        <v>46302</v>
      </c>
      <c r="I9" s="5" t="n">
        <v>5</v>
      </c>
      <c r="J9" s="5" t="s">
        <v>31</v>
      </c>
      <c r="K9" s="5" t="s">
        <v>69</v>
      </c>
      <c r="L9" s="5" t="s">
        <v>75</v>
      </c>
      <c r="M9" s="5" t="s">
        <v>76</v>
      </c>
      <c r="N9" s="5" t="s">
        <v>77</v>
      </c>
      <c r="O9" s="5" t="s">
        <v>78</v>
      </c>
    </row>
    <row r="10" customFormat="false" ht="23.85" hidden="false" customHeight="false" outlineLevel="0" collapsed="false">
      <c r="A10" s="5" t="n">
        <v>2</v>
      </c>
      <c r="B10" s="5" t="s">
        <v>79</v>
      </c>
      <c r="C10" s="5" t="n">
        <v>3</v>
      </c>
      <c r="D10" s="5" t="s">
        <v>10</v>
      </c>
      <c r="E10" s="6" t="n">
        <v>46279</v>
      </c>
      <c r="F10" s="6" t="n">
        <v>46286</v>
      </c>
      <c r="G10" s="6" t="n">
        <v>46289</v>
      </c>
      <c r="H10" s="6" t="n">
        <v>46302</v>
      </c>
      <c r="I10" s="5" t="n">
        <v>3</v>
      </c>
      <c r="J10" s="5" t="s">
        <v>31</v>
      </c>
      <c r="K10" s="5" t="s">
        <v>80</v>
      </c>
      <c r="L10" s="5" t="s">
        <v>81</v>
      </c>
      <c r="M10" s="5" t="s">
        <v>82</v>
      </c>
      <c r="N10" s="5" t="s">
        <v>83</v>
      </c>
      <c r="O10" s="5" t="s">
        <v>84</v>
      </c>
    </row>
    <row r="11" customFormat="false" ht="23.85" hidden="false" customHeight="false" outlineLevel="0" collapsed="false">
      <c r="A11" s="5" t="n">
        <v>3</v>
      </c>
      <c r="B11" s="5" t="s">
        <v>85</v>
      </c>
      <c r="C11" s="5" t="n">
        <v>2</v>
      </c>
      <c r="D11" s="5" t="s">
        <v>10</v>
      </c>
      <c r="E11" s="6" t="n">
        <v>46279</v>
      </c>
      <c r="F11" s="6" t="n">
        <v>46286</v>
      </c>
      <c r="G11" s="6" t="n">
        <v>46289</v>
      </c>
      <c r="H11" s="6" t="n">
        <v>46302</v>
      </c>
      <c r="I11" s="5" t="n">
        <v>2</v>
      </c>
      <c r="J11" s="5" t="s">
        <v>31</v>
      </c>
      <c r="K11" s="5" t="s">
        <v>86</v>
      </c>
      <c r="L11" s="5" t="s">
        <v>87</v>
      </c>
      <c r="M11" s="5" t="s">
        <v>88</v>
      </c>
      <c r="N11" s="5" t="s">
        <v>89</v>
      </c>
      <c r="O11" s="5" t="s">
        <v>90</v>
      </c>
    </row>
    <row r="12" customFormat="false" ht="23.85" hidden="false" customHeight="false" outlineLevel="0" collapsed="false">
      <c r="A12" s="5" t="n">
        <v>4</v>
      </c>
      <c r="B12" s="5" t="s">
        <v>91</v>
      </c>
      <c r="C12" s="5" t="n">
        <v>3</v>
      </c>
      <c r="D12" s="5" t="s">
        <v>10</v>
      </c>
      <c r="E12" s="6" t="n">
        <v>46279</v>
      </c>
      <c r="F12" s="6" t="n">
        <v>46286</v>
      </c>
      <c r="G12" s="6" t="n">
        <v>46289</v>
      </c>
      <c r="H12" s="6" t="n">
        <v>46302</v>
      </c>
      <c r="I12" s="5" t="n">
        <v>3</v>
      </c>
      <c r="J12" s="5" t="s">
        <v>31</v>
      </c>
      <c r="K12" s="5" t="s">
        <v>92</v>
      </c>
      <c r="L12" s="5" t="s">
        <v>93</v>
      </c>
      <c r="M12" s="5" t="s">
        <v>94</v>
      </c>
      <c r="N12" s="5" t="s">
        <v>95</v>
      </c>
      <c r="O12" s="5" t="s">
        <v>96</v>
      </c>
    </row>
    <row r="13" customFormat="false" ht="23.85" hidden="false" customHeight="false" outlineLevel="0" collapsed="false">
      <c r="A13" s="5" t="n">
        <v>18</v>
      </c>
      <c r="B13" s="5" t="s">
        <v>97</v>
      </c>
      <c r="C13" s="5" t="n">
        <v>3</v>
      </c>
      <c r="D13" s="5" t="s">
        <v>10</v>
      </c>
      <c r="E13" s="6" t="n">
        <v>46279</v>
      </c>
      <c r="F13" s="6" t="n">
        <v>46286</v>
      </c>
      <c r="G13" s="6" t="n">
        <v>46289</v>
      </c>
      <c r="H13" s="6" t="n">
        <v>46302</v>
      </c>
      <c r="I13" s="5" t="n">
        <v>3</v>
      </c>
      <c r="J13" s="5" t="s">
        <v>31</v>
      </c>
      <c r="K13" s="5" t="s">
        <v>98</v>
      </c>
      <c r="L13" s="5" t="s">
        <v>99</v>
      </c>
      <c r="M13" s="5" t="s">
        <v>100</v>
      </c>
      <c r="N13" s="5" t="s">
        <v>101</v>
      </c>
      <c r="O13" s="5" t="s">
        <v>102</v>
      </c>
    </row>
    <row r="14" customFormat="false" ht="15" hidden="false" customHeight="true" outlineLevel="0" collapsed="false">
      <c r="A14" s="14" t="s">
        <v>103</v>
      </c>
      <c r="B14" s="14"/>
      <c r="C14" s="14"/>
      <c r="D14" s="14"/>
      <c r="E14" s="14"/>
      <c r="F14" s="14"/>
      <c r="G14" s="14"/>
      <c r="H14" s="14"/>
      <c r="I14" s="14"/>
      <c r="J14" s="14"/>
      <c r="K14" s="14"/>
      <c r="L14" s="14"/>
      <c r="M14" s="14"/>
      <c r="N14" s="14"/>
      <c r="O14" s="14"/>
    </row>
  </sheetData>
  <mergeCells count="3">
    <mergeCell ref="A1:O1"/>
    <mergeCell ref="A6:O6"/>
    <mergeCell ref="A14:O14"/>
  </mergeCells>
  <dataValidations count="2">
    <dataValidation allowBlank="false" errorStyle="stop" operator="between" showDropDown="false" showErrorMessage="false" showInputMessage="false" sqref="D7:D13" type="list">
      <formula1>"Phú,Kiệt"</formula1>
      <formula2>0</formula2>
    </dataValidation>
    <dataValidation allowBlank="false" errorStyle="stop" operator="between" showDropDown="false" showErrorMessage="false" showInputMessage="false" sqref="J7:J13" type="list">
      <formula1>"To Do,In Progress,Blocked,In Review,Done"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2026-10-27T09:18:22Z</dcterms:created>
  <dc:creator>openpyxl</dc:creator>
  <dc:description/>
  <dc:language>en-US</dc:language>
  <cp:lastModifiedBy/>
  <dcterms:modified xsi:type="dcterms:W3CDTF">2026-10-27T09:18:22Z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